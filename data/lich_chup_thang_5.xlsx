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343" windowHeight="8460"/>
  </bookViews>
  <sheets>
    <sheet name="LichChup" sheetId="1" r:id="rId1"/>
    <sheet name="GoiCh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<sst xmlns="http://schemas.openxmlformats.org/spreadsheetml/2006/main" count="69" uniqueCount="51">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</sst>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E4" sqref="E4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</v>
      </c>
      <c r="E2" t="str">
        <f>VLOOKUP(C2,GoiChup!$A$2:$C$8,2,1)</f>
        <v>Chup gia dinh</v>
      </c>
      <c r="F2">
        <f>VLOOKUP(C2,GoiChup!$A$2:$C$8,3,1)</f>
        <v>1500000</v>
      </c>
      <c r="G2">
        <f>D2*F2</f>
        <v>3000000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VLOOKUP(C3,GoiChup!$A$2:$C$8,2,1)</f>
        <v>Chup cuoi trong studio</v>
      </c>
      <c r="F3">
        <f>VLOOKUP(C3,GoiChup!$A$2:$C$8,3,1)</f>
        <v>2500000</v>
      </c>
      <c r="G3">
        <f t="shared" ref="G3:G16" si="0">D3*F3</f>
        <v>12500000</v>
      </c>
    </row>
    <row r="4" spans="1:7">
      <c r="A4" t="s">
        <v>13</v>
      </c>
      <c r="B4" t="s">
        <v>14</v>
      </c>
      <c r="C4" t="s">
        <v>15</v>
      </c>
      <c r="D4">
        <v>1</v>
      </c>
      <c r="E4" t="e">
        <f>VLOOKUP(C4,GoiChup!$A$2:$C$8,2,1)</f>
        <v>#N/A</v>
      </c>
      <c r="F4" t="e">
        <f>VLOOKUP(C4,GoiChup!$A$2:$C$8,3,1)</f>
        <v>#N/A</v>
      </c>
      <c r="G4" t="e">
        <f t="shared" si="0"/>
        <v>#N/A</v>
      </c>
    </row>
    <row r="5" spans="1:7">
      <c r="A5" t="s">
        <v>16</v>
      </c>
      <c r="B5" t="s">
        <v>17</v>
      </c>
      <c r="C5" t="s">
        <v>12</v>
      </c>
      <c r="D5">
        <v>1</v>
      </c>
      <c r="E5" t="str">
        <f>VLOOKUP(C5,GoiChup!$A$2:$C$8,2,1)</f>
        <v>Chup cuoi trong studio</v>
      </c>
      <c r="F5">
        <f>VLOOKUP(C5,GoiChup!$A$2:$C$8,3,1)</f>
        <v>2500000</v>
      </c>
      <c r="G5">
        <f t="shared" si="0"/>
        <v>2500000</v>
      </c>
    </row>
    <row r="6" spans="1:7">
      <c r="A6" t="s">
        <v>18</v>
      </c>
      <c r="B6" t="s">
        <v>19</v>
      </c>
      <c r="C6" t="s">
        <v>15</v>
      </c>
      <c r="D6">
        <v>5</v>
      </c>
      <c r="E6" t="e">
        <f>VLOOKUP(C6,GoiChup!$A$2:$C$8,2,1)</f>
        <v>#N/A</v>
      </c>
      <c r="F6" t="e">
        <f>VLOOKUP(C6,GoiChup!$A$2:$C$8,3,1)</f>
        <v>#N/A</v>
      </c>
      <c r="G6" t="e">
        <f t="shared" si="0"/>
        <v>#N/A</v>
      </c>
    </row>
    <row r="7" spans="1:7">
      <c r="A7" t="s">
        <v>20</v>
      </c>
      <c r="B7" t="s">
        <v>21</v>
      </c>
      <c r="C7" t="s">
        <v>12</v>
      </c>
      <c r="D7">
        <v>2</v>
      </c>
      <c r="E7" t="str">
        <f>VLOOKUP(C7,GoiChup!$A$2:$C$8,2,1)</f>
        <v>Chup cuoi trong studio</v>
      </c>
      <c r="F7">
        <f>VLOOKUP(C7,GoiChup!$A$2:$C$8,3,1)</f>
        <v>2500000</v>
      </c>
      <c r="G7">
        <f t="shared" si="0"/>
        <v>5000000</v>
      </c>
    </row>
    <row r="8" spans="1:7">
      <c r="A8" t="s">
        <v>22</v>
      </c>
      <c r="B8" t="s">
        <v>23</v>
      </c>
      <c r="C8" t="s">
        <v>24</v>
      </c>
      <c r="D8">
        <v>5</v>
      </c>
      <c r="E8" t="e">
        <f>VLOOKUP(C8,GoiChup!$A$2:$C$8,2,1)</f>
        <v>#N/A</v>
      </c>
      <c r="F8" t="e">
        <f>VLOOKUP(C8,GoiChup!$A$2:$C$8,3,1)</f>
        <v>#N/A</v>
      </c>
      <c r="G8" t="e">
        <f t="shared" si="0"/>
        <v>#N/A</v>
      </c>
    </row>
    <row r="9" spans="1:7">
      <c r="A9" t="s">
        <v>25</v>
      </c>
      <c r="B9" t="s">
        <v>26</v>
      </c>
      <c r="C9" t="s">
        <v>12</v>
      </c>
      <c r="D9">
        <v>5</v>
      </c>
      <c r="E9" t="str">
        <f>VLOOKUP(C9,GoiChup!$A$2:$C$8,2,1)</f>
        <v>Chup cuoi trong studio</v>
      </c>
      <c r="F9">
        <f>VLOOKUP(C9,GoiChup!$A$2:$C$8,3,1)</f>
        <v>2500000</v>
      </c>
      <c r="G9">
        <f t="shared" si="0"/>
        <v>12500000</v>
      </c>
    </row>
    <row r="10" spans="1:7">
      <c r="A10" t="s">
        <v>27</v>
      </c>
      <c r="B10" t="s">
        <v>28</v>
      </c>
      <c r="C10" t="s">
        <v>29</v>
      </c>
      <c r="D10">
        <v>3</v>
      </c>
      <c r="E10" t="str">
        <f>VLOOKUP(C10,GoiChup!$A$2:$C$8,2,1)</f>
        <v>Chup ky yeu lop</v>
      </c>
      <c r="F10">
        <f>VLOOKUP(C10,GoiChup!$A$2:$C$8,3,1)</f>
        <v>1200000</v>
      </c>
      <c r="G10">
        <f t="shared" si="0"/>
        <v>3600000</v>
      </c>
    </row>
    <row r="11" spans="1:7">
      <c r="A11" t="s">
        <v>30</v>
      </c>
      <c r="B11" t="s">
        <v>31</v>
      </c>
      <c r="C11" t="s">
        <v>29</v>
      </c>
      <c r="D11">
        <v>1</v>
      </c>
      <c r="E11" t="str">
        <f>VLOOKUP(C11,GoiChup!$A$2:$C$8,2,1)</f>
        <v>Chup ky yeu lop</v>
      </c>
      <c r="F11">
        <f>VLOOKUP(C11,GoiChup!$A$2:$C$8,3,1)</f>
        <v>1200000</v>
      </c>
      <c r="G11">
        <f t="shared" si="0"/>
        <v>1200000</v>
      </c>
    </row>
    <row r="12" spans="1:7">
      <c r="A12" t="s">
        <v>32</v>
      </c>
      <c r="B12" t="s">
        <v>33</v>
      </c>
      <c r="C12" t="s">
        <v>34</v>
      </c>
      <c r="D12">
        <v>1</v>
      </c>
      <c r="E12" t="str">
        <f>VLOOKUP(C12,GoiChup!$A$2:$C$8,2,1)</f>
        <v>Chup san pham</v>
      </c>
      <c r="F12">
        <f>VLOOKUP(C12,GoiChup!$A$2:$C$8,3,1)</f>
        <v>600000</v>
      </c>
      <c r="G12">
        <f t="shared" si="0"/>
        <v>600000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f>VLOOKUP(C13,GoiChup!$A$2:$C$8,2,1)</f>
        <v>Chup ky yeu lop</v>
      </c>
      <c r="F13">
        <f>VLOOKUP(C13,GoiChup!$A$2:$C$8,3,1)</f>
        <v>1200000</v>
      </c>
      <c r="G13">
        <f t="shared" si="0"/>
        <v>2400000</v>
      </c>
    </row>
    <row r="14" spans="1:7">
      <c r="A14" t="s">
        <v>37</v>
      </c>
      <c r="B14" t="s">
        <v>38</v>
      </c>
      <c r="C14" t="s">
        <v>39</v>
      </c>
      <c r="D14">
        <v>3</v>
      </c>
      <c r="E14" t="e">
        <f>VLOOKUP(C14,GoiChup!$A$2:$C$8,2,1)</f>
        <v>#N/A</v>
      </c>
      <c r="F14" t="e">
        <f>VLOOKUP(C14,GoiChup!$A$2:$C$8,3,1)</f>
        <v>#N/A</v>
      </c>
      <c r="G14" t="e">
        <f t="shared" si="0"/>
        <v>#N/A</v>
      </c>
    </row>
    <row r="15" spans="1:7">
      <c r="A15" t="s">
        <v>40</v>
      </c>
      <c r="B15" t="s">
        <v>41</v>
      </c>
      <c r="C15" t="s">
        <v>15</v>
      </c>
      <c r="D15">
        <v>4</v>
      </c>
      <c r="E15" t="e">
        <f>VLOOKUP(C15,GoiChup!$A$2:$C$8,2,1)</f>
        <v>#N/A</v>
      </c>
      <c r="F15" t="e">
        <f>VLOOKUP(C15,GoiChup!$A$2:$C$8,3,1)</f>
        <v>#N/A</v>
      </c>
      <c r="G15" t="e">
        <f t="shared" si="0"/>
        <v>#N/A</v>
      </c>
    </row>
    <row r="16" spans="1:7">
      <c r="A16" t="s">
        <v>42</v>
      </c>
      <c r="B16" t="s">
        <v>43</v>
      </c>
      <c r="C16" t="s">
        <v>39</v>
      </c>
      <c r="D16">
        <v>2</v>
      </c>
      <c r="E16" t="e">
        <f>VLOOKUP(C16,GoiChup!$A$2:$C$8,2,1)</f>
        <v>#N/A</v>
      </c>
      <c r="F16" t="e">
        <f>VLOOKUP(C16,GoiChup!$A$2:$C$8,3,1)</f>
        <v>#N/A</v>
      </c>
      <c r="G16" t="e">
        <f t="shared" si="0"/>
        <v>#N/A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7" sqref="A7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800000</v>
      </c>
    </row>
    <row r="3" spans="1:3">
      <c r="A3" t="s">
        <v>29</v>
      </c>
      <c r="B3" t="s">
        <v>45</v>
      </c>
      <c r="C3">
        <v>1200000</v>
      </c>
    </row>
    <row r="4" spans="1:3">
      <c r="A4" t="s">
        <v>24</v>
      </c>
      <c r="B4" t="s">
        <v>46</v>
      </c>
      <c r="C4">
        <v>1500000</v>
      </c>
    </row>
    <row r="5" spans="1:3">
      <c r="A5" t="s">
        <v>34</v>
      </c>
      <c r="B5" t="s">
        <v>47</v>
      </c>
      <c r="C5">
        <v>600000</v>
      </c>
    </row>
    <row r="6" spans="1:3">
      <c r="A6" t="s">
        <v>12</v>
      </c>
      <c r="B6" t="s">
        <v>48</v>
      </c>
      <c r="C6">
        <v>50000</v>
      </c>
    </row>
    <row r="7" spans="1:3">
      <c r="A7" t="s">
        <v>15</v>
      </c>
      <c r="B7" t="s">
        <v>49</v>
      </c>
      <c r="C7">
        <v>900000</v>
      </c>
    </row>
    <row r="8" spans="1:3">
      <c r="A8" t="s">
        <v>39</v>
      </c>
      <c r="B8" t="s">
        <v>50</v>
      </c>
      <c r="C8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hào mạnh</cp:lastModifiedBy>
  <dcterms:created xsi:type="dcterms:W3CDTF">2026-10-27T01:32:00Z</dcterms:created>
  <dcterms:modified xsi:type="dcterms:W3CDTF">2026-10-28T02:24:10Z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8A727A31AD5B42E39485C13FEBBFA8E9_12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